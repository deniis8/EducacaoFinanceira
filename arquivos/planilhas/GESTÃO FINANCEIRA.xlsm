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adeni\Desktop\Git\EducacaoFinanceira\arquivos\planilhas\"/>
    </mc:Choice>
  </mc:AlternateContent>
  <xr:revisionPtr revIDLastSave="0" documentId="13_ncr:1_{61D361D0-2213-4753-98BC-32A4FFCB64E0}" xr6:coauthVersionLast="47" xr6:coauthVersionMax="47" xr10:uidLastSave="{00000000-0000-0000-0000-000000000000}"/>
  <bookViews>
    <workbookView xWindow="-120" yWindow="-120" windowWidth="20730" windowHeight="11160" tabRatio="884" activeTab="2" xr2:uid="{00000000-000D-0000-FFFF-FFFF00000000}"/>
  </bookViews>
  <sheets>
    <sheet name="TOP GASTOS POR CENTRO DE CUSTO" sheetId="1" r:id="rId1"/>
    <sheet name="GASTOS POR DIA DA SEMANA" sheetId="2" r:id="rId2"/>
    <sheet name="SOBRA MENSAL" sheetId="3" r:id="rId3"/>
  </sheets>
  <definedNames>
    <definedName name="Consulta_de_LANCAMENTOS" localSheetId="1" hidden="1">'GASTOS POR DIA DA SEMANA'!$D$4:$G$5</definedName>
    <definedName name="Consulta_de_LANCAMENTOS" localSheetId="2" hidden="1">'SOBRA MENSAL'!$A$2:$E$3</definedName>
    <definedName name="Consulta_de_LANCAMENTOS" localSheetId="0" hidden="1">'TOP GASTOS POR CENTRO DE CUSTO'!$D$4:$F$5</definedName>
  </definedNames>
  <calcPr calcId="191029"/>
</workbook>
</file>

<file path=xl/calcChain.xml><?xml version="1.0" encoding="utf-8"?>
<calcChain xmlns="http://schemas.openxmlformats.org/spreadsheetml/2006/main">
  <c r="H4" i="3" l="1"/>
  <c r="J7" i="2" l="1"/>
  <c r="J6" i="2"/>
  <c r="J5" i="2"/>
  <c r="C6" i="2" l="1"/>
  <c r="C5" i="2"/>
  <c r="C5" i="1" l="1"/>
  <c r="C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sulta de LANCAMENTOS" type="1" refreshedVersion="7" background="1" saveData="1">
    <dbPr connection="DSN=LANCAMENTOS;Database=C:\EducacaoFinanceira\banco_dados\LANCCONTAS.db3;StepAPI=0;SyncPragma=;NoTXN=0;Timeout=;ShortNames=0;LongNames=0;NoCreat=0;NoWCHAR=0;FKSupport=0;JournalMode=;OEMCP=0;LoadExt=;BigInt=0;JDConv=0;" command="SELECT_x000d__x000a_   'R$ ' ||SUM(SALD.VALORLAN) AS [VALOR],_x000d__x000a_    SALD.CCUSTO AS [CENTRO DE CUSTO],_x000d__x000a_    TRIM(GROUP_CONCAT(STRFTIME(' (' || '%d/%m/%Y',DATA) || ' ' || DESCRILAN || ': ' || 'R$ ' || VALORLAN || ')')) AS [DESCRIÇÃO]_x000d__x000a_ FROM _x000d__x000a_     SALDOS AS SALD_x000d__x000a_ WHERE _x000d__x000a_     STATUS='Pago' AND SALD.DATA BETWEEN ? AND ?_x000d__x000a_ GROUP BY _x000d__x000a_     SALD.CCUSTO _x000d__x000a_ ORDER BY_x000d__x000a_     SUM(SALD.VALORLAN) DESC;"/>
    <parameters count="2">
      <parameter name="Parâmetro1" parameterType="cell" refreshOnChange="1" cell="'TOP GASTOS POR CENTRO DE CUSTO'!$C$4"/>
      <parameter name="Parâmetro2" parameterType="cell" refreshOnChange="1" cell="'TOP GASTOS POR CENTRO DE CUSTO'!$C$5"/>
    </parameters>
  </connection>
  <connection id="2" xr16:uid="{00000000-0015-0000-FFFF-FFFF01000000}" name="Consulta de LANCAMENTOS1" type="1" refreshedVersion="7" background="1" saveData="1">
    <dbPr connection="DSN=LANCAMENTOS;Database=C:\EducacaoFinanceira\banco_dados\LANCCONTAS.db3;StepAPI=0;SyncPragma=;NoTXN=0;Timeout=;ShortNames=0;LongNames=0;NoCreat=0;NoWCHAR=0;FKSupport=0;JournalMode=;OEMCP=0;LoadExt=;BigInt=0;JDConv=0;" command="SELECT _x000d__x000a_    STRFTIME('%d/%m/%Y',EMISSAO) AS [EMISSÃO],_x000d__x000a_    DIAS_SEMANA AS [DIA DA SEMANA],_x000d__x000a_    VALOR_GASTO AS [VALOR GASTO],_x000d__x000a_    DESCRICAO AS [DESCRIÇÃO]_x000d__x000a_FROM_x000d__x000a_    VW_GASTOSPD _x000d__x000a_WHERE  _x000d__x000a_    EMISSAO BETWEEN ? AND ?"/>
    <parameters count="2">
      <parameter name="Parâmetro1" parameterType="cell" refreshOnChange="1" cell="'GASTOS POR DIA DA SEMANA'!$C$5"/>
      <parameter name="Parâmetro2" parameterType="cell" refreshOnChange="1" cell="'GASTOS POR DIA DA SEMANA'!$C$6"/>
    </parameters>
  </connection>
  <connection id="3" xr16:uid="{00000000-0015-0000-FFFF-FFFF02000000}" name="Consulta de LANCAMENTOS2" type="1" refreshedVersion="7" background="1" saveData="1">
    <dbPr connection="DSN=LANCAMENTOS;Database=C:\EducacaoFinanceira\banco_dados\LANCCONTAS.db3;StepAPI=0;SyncPragma=;NoTXN=0;Timeout=;ShortNames=0;LongNames=0;NoCreat=0;NoWCHAR=0;FKSupport=0;JournalMode=;OEMCP=0;LoadExt=;BigInt=0;JDConv=0;" command="SELECT _x000d__x000a_    DATA,_x000d__x000a_    MESES_ANO,_x000d__x000a_    VALOR_RECEBIDO,_x000d__x000a_    VALOR_GASTO,_x000d__x000a_    SOBRA_MENSAL_x000d__x000a_FROM_x000d__x000a_    VW_GASTOS_MENSAIS;"/>
  </connection>
</connections>
</file>

<file path=xl/sharedStrings.xml><?xml version="1.0" encoding="utf-8"?>
<sst xmlns="http://schemas.openxmlformats.org/spreadsheetml/2006/main" count="25" uniqueCount="21">
  <si>
    <t>Emissão Até:</t>
  </si>
  <si>
    <t>Emissão De:</t>
  </si>
  <si>
    <t>CENTRO DE CUSTO</t>
  </si>
  <si>
    <t>TOP GASTOS POR CENTRO DE CUSTO</t>
  </si>
  <si>
    <t>EMISSÃO</t>
  </si>
  <si>
    <t>VALOR</t>
  </si>
  <si>
    <t>GASTOS POR DIA DA SEMANA</t>
  </si>
  <si>
    <t>VALOR GASTO</t>
  </si>
  <si>
    <t>Parâmetros</t>
  </si>
  <si>
    <t>DESCRIÇÃO</t>
  </si>
  <si>
    <t>MÉDIA:</t>
  </si>
  <si>
    <t>MAIOR:</t>
  </si>
  <si>
    <t>MENOR:</t>
  </si>
  <si>
    <t>DIA DA SEMANA</t>
  </si>
  <si>
    <t>MESES_ANO</t>
  </si>
  <si>
    <t>VALOR_RECEBIDO</t>
  </si>
  <si>
    <t>VALOR_GASTO</t>
  </si>
  <si>
    <t>SOBRA_MENSAL</t>
  </si>
  <si>
    <t>SOBRA MENSAL</t>
  </si>
  <si>
    <t>DATA</t>
  </si>
  <si>
    <t>SALDO ATUAL: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</si>
</sst>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11" x14ac:knownFonts="1">
    <font>
      <sz val="11"/>
      <color theme="1"/>
      <name val="Calibri"/>
      <family val="2"/>
      <scheme val="minor"/>
    </font>
    <font>
      <sz val="11"/>
      <color rgb="FF1E1E1E"/>
      <name val="Segoe UI"/>
      <family val="2"/>
    </font>
    <font>
      <sz val="11"/>
      <color rgb="FF1E1E1E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1E1E1E"/>
      <name val="Calibri"/>
      <scheme val="minor"/>
    </font>
    <font>
      <b/>
      <sz val="20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9" fillId="0" borderId="0" applyFont="0" applyFill="0" applyBorder="0" applyAlignment="0" applyProtection="0"/>
  </cellStyleXfs>
  <cellXfs count="38">
    <xf numFmtId="0" fontId="0" fillId="0" borderId="0" xfId="0"/>
    <xf numFmtId="0" fontId="0" fillId="3" borderId="0" xfId="0" applyFill="1"/>
    <xf numFmtId="0" fontId="1" fillId="0" borderId="0" xfId="0" applyFont="1"/>
    <xf numFmtId="0" fontId="3" fillId="0" borderId="0" xfId="0" applyFont="1" applyFill="1" applyAlignment="1"/>
    <xf numFmtId="0" fontId="0" fillId="4" borderId="0" xfId="0" applyFill="1"/>
    <xf numFmtId="0" fontId="0" fillId="0" borderId="0" xfId="0" applyNumberFormat="1"/>
    <xf numFmtId="14" fontId="0" fillId="5" borderId="0" xfId="0" applyNumberFormat="1" applyFill="1" applyAlignment="1">
      <alignment horizontal="center"/>
    </xf>
    <xf numFmtId="0" fontId="4" fillId="0" borderId="0" xfId="0" applyFont="1" applyFill="1" applyAlignment="1"/>
    <xf numFmtId="0" fontId="6" fillId="4" borderId="0" xfId="0" applyFont="1" applyFill="1"/>
    <xf numFmtId="0" fontId="5" fillId="0" borderId="0" xfId="0" applyFont="1" applyFill="1" applyAlignment="1">
      <alignment horizontal="center"/>
    </xf>
    <xf numFmtId="0" fontId="8" fillId="2" borderId="0" xfId="0" applyFont="1" applyFill="1" applyAlignment="1">
      <alignment horizontal="center" vertical="center"/>
    </xf>
    <xf numFmtId="164" fontId="0" fillId="0" borderId="0" xfId="0" applyNumberFormat="1"/>
    <xf numFmtId="44" fontId="0" fillId="0" borderId="0" xfId="1" applyFont="1"/>
    <xf numFmtId="0" fontId="8" fillId="0" borderId="0" xfId="0" applyFont="1" applyFill="1" applyAlignment="1">
      <alignment vertical="center"/>
    </xf>
    <xf numFmtId="0" fontId="0" fillId="2" borderId="0" xfId="0" applyFill="1"/>
    <xf numFmtId="14" fontId="0" fillId="5" borderId="0" xfId="0" applyNumberFormat="1" applyFill="1" applyAlignment="1">
      <alignment horizontal="left" vertical="center"/>
    </xf>
    <xf numFmtId="164" fontId="0" fillId="6" borderId="0" xfId="0" applyNumberForma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0" borderId="1" xfId="0" applyBorder="1"/>
    <xf numFmtId="0" fontId="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44" fontId="0" fillId="0" borderId="3" xfId="1" applyFont="1" applyBorder="1" applyAlignment="1">
      <alignment horizontal="left" vertical="center"/>
    </xf>
    <xf numFmtId="164" fontId="0" fillId="0" borderId="3" xfId="0" applyNumberFormat="1" applyBorder="1" applyAlignment="1">
      <alignment horizontal="left" vertical="center"/>
    </xf>
    <xf numFmtId="164" fontId="0" fillId="0" borderId="4" xfId="0" applyNumberFormat="1" applyBorder="1" applyAlignment="1">
      <alignment horizontal="left" vertical="center"/>
    </xf>
    <xf numFmtId="14" fontId="0" fillId="0" borderId="5" xfId="0" applyNumberFormat="1" applyBorder="1" applyAlignment="1">
      <alignment horizontal="left" vertical="center"/>
    </xf>
    <xf numFmtId="14" fontId="0" fillId="0" borderId="1" xfId="0" applyNumberFormat="1" applyBorder="1" applyAlignment="1">
      <alignment horizontal="left" vertical="center"/>
    </xf>
    <xf numFmtId="44" fontId="0" fillId="0" borderId="1" xfId="1" applyFont="1" applyBorder="1" applyAlignment="1">
      <alignment horizontal="left" vertical="center"/>
    </xf>
    <xf numFmtId="164" fontId="0" fillId="0" borderId="1" xfId="0" applyNumberFormat="1" applyBorder="1" applyAlignment="1">
      <alignment horizontal="left" vertical="center"/>
    </xf>
    <xf numFmtId="164" fontId="0" fillId="0" borderId="6" xfId="0" applyNumberFormat="1" applyBorder="1" applyAlignment="1">
      <alignment horizontal="left" vertical="center"/>
    </xf>
    <xf numFmtId="0" fontId="3" fillId="0" borderId="0" xfId="0" applyFont="1" applyFill="1" applyAlignment="1">
      <alignment horizontal="center"/>
    </xf>
    <xf numFmtId="0" fontId="3" fillId="2" borderId="0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</cellXfs>
  <cellStyles count="2">
    <cellStyle name="Moeda" xfId="1" builtinId="4"/>
    <cellStyle name="Normal" xfId="0" builtinId="0"/>
  </cellStyles>
  <dxfs count="21">
    <dxf>
      <numFmt numFmtId="164" formatCode="&quot;R$&quot;\ #,##0.00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&quot;R$&quot;\ #,##0.00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1E1E"/>
        <name val="Calibri"/>
        <scheme val="minor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1E1E"/>
        <name val="Calibri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1E1E"/>
        <name val="Calibri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left" vertical="center" textRotation="0" wrapText="1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'GASTOS POR DIA DA SEMANA'!$F$4</c:f>
              <c:strCache>
                <c:ptCount val="1"/>
                <c:pt idx="0">
                  <c:v>VALOR GASTO</c:v>
                </c:pt>
              </c:strCache>
            </c:strRef>
          </c:tx>
          <c:invertIfNegative val="0"/>
          <c:cat>
            <c:numRef>
              <c:f>'GASTOS POR DIA DA SEMANA'!$E$5:$E$5</c:f>
              <c:numCache>
                <c:formatCode>General</c:formatCode>
                <c:ptCount val="1"/>
              </c:numCache>
            </c:numRef>
          </c:cat>
          <c:val>
            <c:numRef>
              <c:f>'GASTOS POR DIA DA SEMANA'!$F$5:$F$5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F612-4491-AE25-B316A2B20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0127744"/>
        <c:axId val="75459968"/>
      </c:barChart>
      <c:catAx>
        <c:axId val="1001277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5459968"/>
        <c:crosses val="autoZero"/>
        <c:auto val="1"/>
        <c:lblAlgn val="ctr"/>
        <c:lblOffset val="100"/>
        <c:noMultiLvlLbl val="0"/>
      </c:catAx>
      <c:valAx>
        <c:axId val="75459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01277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'SOBRA MENSAL'!$C$2</c:f>
              <c:strCache>
                <c:ptCount val="1"/>
                <c:pt idx="0">
                  <c:v> VALOR_RECEBIDO </c:v>
                </c:pt>
              </c:strCache>
            </c:strRef>
          </c:tx>
          <c:invertIfNegative val="0"/>
          <c:cat>
            <c:numRef>
              <c:f>'SOBRA MENSAL'!$B$3:$B$3</c:f>
              <c:numCache>
                <c:formatCode>m/d/yyyy</c:formatCode>
                <c:ptCount val="1"/>
              </c:numCache>
            </c:numRef>
          </c:cat>
          <c:val>
            <c:numRef>
              <c:f>'SOBRA MENSAL'!$C$3:$C$3</c:f>
              <c:numCache>
                <c:formatCode>_("R$"* #,##0.00_);_("R$"* \(#,##0.00\);_("R$"* "-"??_);_(@_)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958D-49F5-A98D-82BCEE5AFE22}"/>
            </c:ext>
          </c:extLst>
        </c:ser>
        <c:ser>
          <c:idx val="1"/>
          <c:order val="1"/>
          <c:tx>
            <c:strRef>
              <c:f>'SOBRA MENSAL'!$D$2</c:f>
              <c:strCache>
                <c:ptCount val="1"/>
                <c:pt idx="0">
                  <c:v>VALOR_GASTO</c:v>
                </c:pt>
              </c:strCache>
            </c:strRef>
          </c:tx>
          <c:invertIfNegative val="0"/>
          <c:cat>
            <c:numRef>
              <c:f>'SOBRA MENSAL'!$B$3:$B$3</c:f>
              <c:numCache>
                <c:formatCode>m/d/yyyy</c:formatCode>
                <c:ptCount val="1"/>
              </c:numCache>
            </c:numRef>
          </c:cat>
          <c:val>
            <c:numRef>
              <c:f>'SOBRA MENSAL'!$D$3:$D$3</c:f>
              <c:numCache>
                <c:formatCode>"R$"\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958D-49F5-A98D-82BCEE5AF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129280"/>
        <c:axId val="75462272"/>
      </c:barChart>
      <c:catAx>
        <c:axId val="1001292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5462272"/>
        <c:crosses val="autoZero"/>
        <c:auto val="1"/>
        <c:lblAlgn val="ctr"/>
        <c:lblOffset val="100"/>
        <c:noMultiLvlLbl val="0"/>
      </c:catAx>
      <c:valAx>
        <c:axId val="75462272"/>
        <c:scaling>
          <c:orientation val="minMax"/>
        </c:scaling>
        <c:delete val="0"/>
        <c:axPos val="l"/>
        <c:majorGridlines/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1001292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293241</xdr:colOff>
      <xdr:row>8</xdr:row>
      <xdr:rowOff>107023</xdr:rowOff>
    </xdr:from>
    <xdr:to>
      <xdr:col>15</xdr:col>
      <xdr:colOff>160534</xdr:colOff>
      <xdr:row>23</xdr:row>
      <xdr:rowOff>114086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85725</xdr:colOff>
      <xdr:row>5</xdr:row>
      <xdr:rowOff>23811</xdr:rowOff>
    </xdr:from>
    <xdr:to>
      <xdr:col>10</xdr:col>
      <xdr:colOff>1485900</xdr:colOff>
      <xdr:row>21</xdr:row>
      <xdr:rowOff>85724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 LANCAMENTOS" connectionId="1" xr16:uid="{00000000-0016-0000-0000-000000000000}" autoFormatId="16" applyNumberFormats="0" applyBorderFormats="0" applyFontFormats="0" applyPatternFormats="0" applyAlignmentFormats="0" applyWidthHeightFormats="0">
  <queryTableRefresh nextId="40">
    <queryTableFields count="3">
      <queryTableField id="36" name="VALOR" tableColumnId="13"/>
      <queryTableField id="38" name="CENTRO DE CUSTO" tableColumnId="15"/>
      <queryTableField id="39" name="DESCRIÇÃO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 LANCAMENTOS" connectionId="2" xr16:uid="{00000000-0016-0000-0100-000001000000}" autoFormatId="16" applyNumberFormats="0" applyBorderFormats="0" applyFontFormats="0" applyPatternFormats="0" applyAlignmentFormats="0" applyWidthHeightFormats="0">
  <queryTableRefresh nextId="20">
    <queryTableFields count="4">
      <queryTableField id="16" name="EMISSÃO" tableColumnId="12"/>
      <queryTableField id="17" name="DIA DA SEMANA" tableColumnId="13"/>
      <queryTableField id="18" name="VALOR GASTO" tableColumnId="14"/>
      <queryTableField id="19" name="DESCRIÇÃO" tableColumnId="1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 LANCAMENTOS" connectionId="3" xr16:uid="{00000000-0016-0000-0200-000002000000}" autoFormatId="16" applyNumberFormats="0" applyBorderFormats="0" applyFontFormats="0" applyPatternFormats="0" applyAlignmentFormats="0" applyWidthHeightFormats="0">
  <queryTableRefresh nextId="18">
    <queryTableFields count="5">
      <queryTableField id="5" name="DATA" tableColumnId="5"/>
      <queryTableField id="14" name="MESES_ANO" tableColumnId="14"/>
      <queryTableField id="15" name="VALOR_RECEBIDO" tableColumnId="15"/>
      <queryTableField id="16" name="VALOR_GASTO" tableColumnId="16"/>
      <queryTableField id="17" name="SOBRA_MENSAL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_Consulta_de_LANCAMENTOS" displayName="Tabela_Consulta_de_LANCAMENTOS" ref="D4:F5" tableType="queryTable" insertRow="1" totalsRowShown="0" headerRowDxfId="20" dataDxfId="19">
  <tableColumns count="3">
    <tableColumn id="13" xr3:uid="{00000000-0010-0000-0000-00000D000000}" uniqueName="13" name="VALOR" queryTableFieldId="36" dataDxfId="11"/>
    <tableColumn id="15" xr3:uid="{00000000-0010-0000-0000-00000F000000}" uniqueName="15" name="CENTRO DE CUSTO" queryTableFieldId="38" dataDxfId="10"/>
    <tableColumn id="1" xr3:uid="{00000000-0010-0000-0000-000001000000}" uniqueName="1" name="DESCRIÇÃO" queryTableFieldId="39" dataDxfId="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_Consulta_de_LANCAMENTOS3" displayName="Tabela_Consulta_de_LANCAMENTOS3" ref="D4:G5" tableType="queryTable" insertRow="1" totalsRowShown="0" headerRowDxfId="18" dataDxfId="17">
  <tableColumns count="4">
    <tableColumn id="12" xr3:uid="{00000000-0010-0000-0100-00000C000000}" uniqueName="12" name="EMISSÃO" queryTableFieldId="16" dataDxfId="8"/>
    <tableColumn id="13" xr3:uid="{00000000-0010-0000-0100-00000D000000}" uniqueName="13" name="DIA DA SEMANA" queryTableFieldId="17" dataDxfId="7"/>
    <tableColumn id="14" xr3:uid="{00000000-0010-0000-0100-00000E000000}" uniqueName="14" name="VALOR GASTO" queryTableFieldId="18" dataDxfId="6"/>
    <tableColumn id="15" xr3:uid="{00000000-0010-0000-0100-00000F000000}" uniqueName="15" name="DESCRIÇÃO" queryTableFieldId="19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_Consulta_de_LANCAMENTOS4" displayName="Tabela_Consulta_de_LANCAMENTOS4" ref="A2:E3" tableType="queryTable" insertRow="1" totalsRowShown="0" headerRowDxfId="16" dataDxfId="14" headerRowBorderDxfId="15" tableBorderDxfId="13" totalsRowBorderDxfId="12">
  <tableColumns count="5">
    <tableColumn id="5" xr3:uid="{00000000-0010-0000-0200-000005000000}" uniqueName="5" name="DATA" queryTableFieldId="5" dataDxfId="4"/>
    <tableColumn id="14" xr3:uid="{00000000-0010-0000-0200-00000E000000}" uniqueName="14" name="MESES_ANO" queryTableFieldId="14" dataDxfId="3"/>
    <tableColumn id="15" xr3:uid="{00000000-0010-0000-0200-00000F000000}" uniqueName="15" name="VALOR_RECEBIDO" queryTableFieldId="15" dataDxfId="2" dataCellStyle="Moeda"/>
    <tableColumn id="16" xr3:uid="{00000000-0010-0000-0200-000010000000}" uniqueName="16" name="VALOR_GASTO" queryTableFieldId="16" dataDxfId="1"/>
    <tableColumn id="17" xr3:uid="{00000000-0010-0000-0200-000011000000}" uniqueName="17" name="SOBRA_MENSAL" queryTableFieldId="17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J10"/>
  <sheetViews>
    <sheetView showGridLines="0" workbookViewId="0">
      <selection activeCell="F17" sqref="F17"/>
    </sheetView>
  </sheetViews>
  <sheetFormatPr defaultRowHeight="15" x14ac:dyDescent="0.25"/>
  <cols>
    <col min="1" max="1" width="16.28515625" customWidth="1"/>
    <col min="2" max="2" width="17.42578125" customWidth="1"/>
    <col min="3" max="3" width="18.140625" hidden="1" customWidth="1"/>
    <col min="4" max="4" width="7" bestFit="1" customWidth="1"/>
    <col min="5" max="5" width="17.5703125" bestFit="1" customWidth="1"/>
    <col min="6" max="6" width="11" bestFit="1" customWidth="1"/>
    <col min="7" max="8" width="17.5703125" customWidth="1"/>
    <col min="9" max="9" width="23.7109375" style="5" customWidth="1"/>
    <col min="10" max="10" width="17.5703125" customWidth="1"/>
    <col min="11" max="11" width="9.7109375" customWidth="1"/>
    <col min="12" max="12" width="10.7109375" customWidth="1"/>
    <col min="13" max="13" width="8.140625" customWidth="1"/>
    <col min="14" max="14" width="10.5703125" customWidth="1"/>
    <col min="15" max="15" width="29.28515625" customWidth="1"/>
    <col min="16" max="16" width="7.85546875" customWidth="1"/>
    <col min="17" max="17" width="11" customWidth="1"/>
    <col min="18" max="18" width="17.5703125" customWidth="1"/>
    <col min="19" max="19" width="23.7109375" customWidth="1"/>
    <col min="20" max="20" width="17.5703125" customWidth="1"/>
    <col min="21" max="21" width="10.7109375" customWidth="1"/>
    <col min="22" max="22" width="17.5703125" customWidth="1"/>
    <col min="23" max="23" width="9.7109375" customWidth="1"/>
    <col min="24" max="24" width="10.7109375" customWidth="1"/>
    <col min="25" max="25" width="8.140625" customWidth="1"/>
    <col min="26" max="26" width="10.5703125" customWidth="1"/>
    <col min="27" max="27" width="33.140625" customWidth="1"/>
    <col min="28" max="28" width="8" customWidth="1"/>
    <col min="29" max="29" width="11" customWidth="1"/>
    <col min="30" max="30" width="27.7109375" customWidth="1"/>
    <col min="31" max="31" width="23.7109375" customWidth="1"/>
    <col min="32" max="32" width="27.7109375" customWidth="1"/>
    <col min="33" max="33" width="10.7109375" customWidth="1"/>
    <col min="34" max="34" width="17.5703125" customWidth="1"/>
    <col min="35" max="35" width="12" bestFit="1" customWidth="1"/>
    <col min="36" max="36" width="10.7109375" bestFit="1" customWidth="1"/>
    <col min="37" max="37" width="8.42578125" bestFit="1" customWidth="1"/>
    <col min="38" max="38" width="12.85546875" bestFit="1" customWidth="1"/>
    <col min="39" max="39" width="33.140625" bestFit="1" customWidth="1"/>
    <col min="41" max="41" width="13.28515625" bestFit="1" customWidth="1"/>
    <col min="42" max="42" width="27.7109375" bestFit="1" customWidth="1"/>
  </cols>
  <sheetData>
    <row r="1" spans="1:10" x14ac:dyDescent="0.25">
      <c r="D1" s="33" t="s">
        <v>3</v>
      </c>
      <c r="E1" s="33"/>
      <c r="F1" s="33"/>
    </row>
    <row r="2" spans="1:10" ht="13.5" customHeight="1" x14ac:dyDescent="0.25">
      <c r="A2" s="4" t="s">
        <v>8</v>
      </c>
      <c r="D2" s="33"/>
      <c r="E2" s="33"/>
      <c r="F2" s="33"/>
    </row>
    <row r="3" spans="1:10" ht="15" customHeight="1" x14ac:dyDescent="0.35">
      <c r="A3" s="1" t="s">
        <v>1</v>
      </c>
      <c r="B3" s="6">
        <v>44378</v>
      </c>
      <c r="D3" s="34"/>
      <c r="E3" s="34"/>
      <c r="F3" s="34"/>
      <c r="G3" s="3"/>
      <c r="H3" s="32"/>
      <c r="I3" s="32"/>
      <c r="J3" s="3"/>
    </row>
    <row r="4" spans="1:10" x14ac:dyDescent="0.25">
      <c r="A4" s="1" t="s">
        <v>0</v>
      </c>
      <c r="B4" s="6">
        <v>54424</v>
      </c>
      <c r="C4" t="str">
        <f>TEXT(B3,"AAA-MM-DD")</f>
        <v>2021-07-01</v>
      </c>
      <c r="D4" s="18" t="s">
        <v>5</v>
      </c>
      <c r="E4" s="18" t="s">
        <v>2</v>
      </c>
      <c r="F4" s="18" t="s">
        <v>9</v>
      </c>
      <c r="I4"/>
    </row>
    <row r="5" spans="1:10" ht="16.5" x14ac:dyDescent="0.3">
      <c r="C5" s="2" t="str">
        <f>TEXT(B4,"AAA-MM-DD")</f>
        <v>2049-01-01</v>
      </c>
      <c r="D5" s="19"/>
      <c r="E5" s="19"/>
      <c r="F5" s="20"/>
      <c r="I5"/>
    </row>
    <row r="6" spans="1:10" x14ac:dyDescent="0.25">
      <c r="I6"/>
    </row>
    <row r="7" spans="1:10" x14ac:dyDescent="0.25">
      <c r="I7"/>
    </row>
    <row r="8" spans="1:10" x14ac:dyDescent="0.25">
      <c r="H8" s="5"/>
      <c r="I8"/>
    </row>
    <row r="9" spans="1:10" x14ac:dyDescent="0.25">
      <c r="H9" s="5"/>
      <c r="I9"/>
    </row>
    <row r="10" spans="1:10" x14ac:dyDescent="0.25">
      <c r="H10" s="5"/>
      <c r="I10"/>
    </row>
  </sheetData>
  <mergeCells count="2">
    <mergeCell ref="H3:I3"/>
    <mergeCell ref="D1:F3"/>
  </mergeCell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V7"/>
  <sheetViews>
    <sheetView showGridLines="0" zoomScale="89" zoomScaleNormal="89" workbookViewId="0">
      <selection activeCell="G15" sqref="G15"/>
    </sheetView>
  </sheetViews>
  <sheetFormatPr defaultRowHeight="15" x14ac:dyDescent="0.25"/>
  <cols>
    <col min="1" max="1" width="13" customWidth="1"/>
    <col min="2" max="2" width="30.42578125" customWidth="1"/>
    <col min="3" max="3" width="13.85546875" hidden="1" customWidth="1"/>
    <col min="4" max="4" width="9.140625" bestFit="1" customWidth="1"/>
    <col min="5" max="5" width="15.5703125" customWidth="1"/>
    <col min="6" max="6" width="13.7109375" customWidth="1"/>
    <col min="7" max="7" width="11" bestFit="1" customWidth="1"/>
    <col min="8" max="8" width="13.5703125" customWidth="1"/>
    <col min="9" max="9" width="13" customWidth="1"/>
    <col min="10" max="10" width="12.85546875" customWidth="1"/>
    <col min="11" max="11" width="10.5703125" customWidth="1"/>
    <col min="12" max="12" width="33.140625" customWidth="1"/>
    <col min="13" max="13" width="8" customWidth="1"/>
    <col min="14" max="14" width="11" customWidth="1"/>
    <col min="15" max="15" width="27.7109375" customWidth="1"/>
    <col min="16" max="16" width="10.7109375" customWidth="1"/>
    <col min="17" max="17" width="13.7109375" customWidth="1"/>
    <col min="18" max="18" width="65" customWidth="1"/>
    <col min="19" max="19" width="15.5703125" customWidth="1"/>
    <col min="20" max="20" width="65" customWidth="1"/>
    <col min="21" max="21" width="15.42578125" bestFit="1" customWidth="1"/>
    <col min="22" max="22" width="18.7109375" bestFit="1" customWidth="1"/>
  </cols>
  <sheetData>
    <row r="1" spans="1:22" x14ac:dyDescent="0.25">
      <c r="D1" s="35" t="s">
        <v>6</v>
      </c>
      <c r="E1" s="35"/>
      <c r="F1" s="35"/>
      <c r="G1" s="35"/>
    </row>
    <row r="2" spans="1:22" x14ac:dyDescent="0.25">
      <c r="A2" s="4" t="s">
        <v>8</v>
      </c>
      <c r="D2" s="35"/>
      <c r="E2" s="35"/>
      <c r="F2" s="35"/>
      <c r="G2" s="35"/>
    </row>
    <row r="3" spans="1:22" ht="16.5" customHeight="1" x14ac:dyDescent="0.5">
      <c r="A3" s="1" t="s">
        <v>1</v>
      </c>
      <c r="B3" s="15">
        <v>44378</v>
      </c>
      <c r="D3" s="36"/>
      <c r="E3" s="36"/>
      <c r="F3" s="36"/>
      <c r="G3" s="36"/>
      <c r="H3" s="9"/>
      <c r="U3" s="7"/>
      <c r="V3" s="7"/>
    </row>
    <row r="4" spans="1:22" x14ac:dyDescent="0.25">
      <c r="A4" s="1" t="s">
        <v>0</v>
      </c>
      <c r="B4" s="15">
        <v>54424</v>
      </c>
      <c r="D4" s="18" t="s">
        <v>4</v>
      </c>
      <c r="E4" s="18" t="s">
        <v>13</v>
      </c>
      <c r="F4" s="18" t="s">
        <v>7</v>
      </c>
      <c r="G4" s="18" t="s">
        <v>9</v>
      </c>
    </row>
    <row r="5" spans="1:22" x14ac:dyDescent="0.25">
      <c r="C5" t="str">
        <f>TEXT(B3,"AAAA-MM-DD")</f>
        <v>2021-07-01</v>
      </c>
      <c r="D5" s="21"/>
      <c r="E5" s="21"/>
      <c r="F5" s="21"/>
      <c r="G5" s="21"/>
      <c r="I5" s="8" t="s">
        <v>10</v>
      </c>
      <c r="J5" s="16" t="e">
        <f>MEDIAN(Tabela_Consulta_de_LANCAMENTOS3[VALOR GASTO])</f>
        <v>#NUM!</v>
      </c>
    </row>
    <row r="6" spans="1:22" x14ac:dyDescent="0.25">
      <c r="C6" t="str">
        <f>TEXT(B4,"AAAA-MM-DD")</f>
        <v>2049-01-01</v>
      </c>
      <c r="I6" s="4" t="s">
        <v>12</v>
      </c>
      <c r="J6" s="16" t="e">
        <f>SMALL(Tabela_Consulta_de_LANCAMENTOS3[VALOR GASTO],1)</f>
        <v>#NUM!</v>
      </c>
    </row>
    <row r="7" spans="1:22" x14ac:dyDescent="0.25">
      <c r="I7" s="4" t="s">
        <v>11</v>
      </c>
      <c r="J7" s="16" t="e">
        <f>LARGE(Tabela_Consulta_de_LANCAMENTOS3[VALOR GASTO],1)</f>
        <v>#NUM!</v>
      </c>
    </row>
  </sheetData>
  <mergeCells count="1">
    <mergeCell ref="D1:G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Q4"/>
  <sheetViews>
    <sheetView showGridLines="0" tabSelected="1" workbookViewId="0">
      <selection activeCell="E30" sqref="E30"/>
    </sheetView>
  </sheetViews>
  <sheetFormatPr defaultRowHeight="15" x14ac:dyDescent="0.25"/>
  <cols>
    <col min="1" max="1" width="5.85546875" bestFit="1" customWidth="1"/>
    <col min="2" max="2" width="12" bestFit="1" customWidth="1"/>
    <col min="3" max="3" width="18.42578125" style="12" customWidth="1"/>
    <col min="4" max="4" width="14.28515625" style="11" customWidth="1"/>
    <col min="5" max="5" width="15.5703125" style="11" customWidth="1"/>
    <col min="6" max="6" width="10.7109375" customWidth="1"/>
    <col min="7" max="7" width="15.85546875" customWidth="1"/>
    <col min="8" max="8" width="10.7109375" customWidth="1"/>
    <col min="9" max="9" width="39" customWidth="1"/>
    <col min="10" max="10" width="10.7109375" customWidth="1"/>
    <col min="11" max="11" width="27.7109375" customWidth="1"/>
    <col min="12" max="12" width="9.28515625" customWidth="1"/>
    <col min="13" max="13" width="10.7109375" customWidth="1"/>
    <col min="14" max="14" width="16.85546875" customWidth="1"/>
    <col min="15" max="15" width="14.28515625" customWidth="1"/>
    <col min="16" max="16" width="15.5703125" customWidth="1"/>
    <col min="17" max="17" width="10.7109375" customWidth="1"/>
  </cols>
  <sheetData>
    <row r="1" spans="1:17" ht="27.75" customHeight="1" x14ac:dyDescent="0.25">
      <c r="A1" s="37" t="s">
        <v>18</v>
      </c>
      <c r="B1" s="37"/>
      <c r="C1" s="37"/>
      <c r="D1" s="37"/>
      <c r="E1" s="37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0"/>
    </row>
    <row r="2" spans="1:17" x14ac:dyDescent="0.25">
      <c r="A2" s="22" t="s">
        <v>19</v>
      </c>
      <c r="B2" s="23" t="s">
        <v>14</v>
      </c>
      <c r="C2" s="24" t="s">
        <v>15</v>
      </c>
      <c r="D2" s="25" t="s">
        <v>16</v>
      </c>
      <c r="E2" s="26" t="s">
        <v>17</v>
      </c>
    </row>
    <row r="3" spans="1:17" x14ac:dyDescent="0.25">
      <c r="A3" s="27"/>
      <c r="B3" s="28"/>
      <c r="C3" s="29"/>
      <c r="D3" s="30"/>
      <c r="E3" s="31"/>
    </row>
    <row r="4" spans="1:17" x14ac:dyDescent="0.25">
      <c r="G4" s="14" t="s">
        <v>20</v>
      </c>
      <c r="H4" s="17">
        <f>SUM(Tabela_Consulta_de_LANCAMENTOS4[SOBRA_MENSAL])</f>
        <v>0</v>
      </c>
    </row>
  </sheetData>
  <dataConsolidate/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TOP GASTOS POR CENTRO DE CUSTO</vt:lpstr>
      <vt:lpstr>GASTOS POR DIA DA SEMANA</vt:lpstr>
      <vt:lpstr>SOBRA MENSAL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</dc:creator>
  <cp:lastModifiedBy>Adenilson Soares da Silva</cp:lastModifiedBy>
  <dcterms:created xsi:type="dcterms:W3CDTF">2020-04-16T15:52:06Z</dcterms:created>
  <dcterms:modified xsi:type="dcterms:W3CDTF">2021-09-19T21:40:56Z</dcterms:modified>
</cp:coreProperties>
</file>